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<sst xmlns="http://schemas.openxmlformats.org/spreadsheetml/2006/main" count="35" uniqueCount="35">
  <si>
    <t>Profit and Loss</t>
  </si>
  <si>
    <t>Demo Company (Global)</t>
  </si>
  <si>
    <t>For the month ended 31 October 2026</t>
  </si>
  <si>
    <t>Account</t>
  </si>
  <si>
    <t>Oct 2026</t>
  </si>
  <si>
    <t>Sep 2026</t>
  </si>
  <si>
    <t>Aug 2026</t>
  </si>
  <si>
    <t>Jul 2026</t>
  </si>
  <si>
    <t>Year to date</t>
  </si>
  <si>
    <t>Trading Income</t>
  </si>
  <si>
    <t>Sales</t>
  </si>
  <si>
    <t>Total Trading Income</t>
  </si>
  <si>
    <t>Cost of Sales</t>
  </si>
  <si>
    <t>Purchases</t>
  </si>
  <si>
    <t>Total Cost of Sales</t>
  </si>
  <si>
    <t>Gross Profit</t>
  </si>
  <si>
    <t>Operating Expenses</t>
  </si>
  <si>
    <t>Advertising</t>
  </si>
  <si>
    <t>Bank Fees</t>
  </si>
  <si>
    <t>Cleaning</t>
  </si>
  <si>
    <t>Consulting &amp; Accounting</t>
  </si>
  <si>
    <t>Entertainment</t>
  </si>
  <si>
    <t>Freight &amp; Courier</t>
  </si>
  <si>
    <t>General Expenses</t>
  </si>
  <si>
    <t>Light, Power, Heating</t>
  </si>
  <si>
    <t>Motor Vehicle Expenses</t>
  </si>
  <si>
    <t>Office Expenses</t>
  </si>
  <si>
    <t>Printing &amp; Stationery</t>
  </si>
  <si>
    <t>Rent</t>
  </si>
  <si>
    <t>Repairs and Maintenance</t>
  </si>
  <si>
    <t>Telephone &amp; Internet</t>
  </si>
  <si>
    <t>Travel - National</t>
  </si>
  <si>
    <t>Unrealised Currency Gains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</si>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</sst>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36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5.66015625" customWidth="1"/>
    <col min="2" max="3" width="10.66015625" customWidth="1"/>
    <col min="4" max="4" width="11.16015625" customWidth="1"/>
    <col min="5" max="5" width="10.16015625" customWidth="1"/>
    <col min="6" max="6" width="14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</row>
    <row r="6" ht="13.35" customHeight="true"/>
    <row r="7" ht="12.1" customHeight="true" customFormat="true" s="5">
      <c r="A7" s="8" t="s">
        <v>9</v>
      </c>
      <c r="B7" s="8"/>
      <c r="C7" s="8"/>
      <c r="D7" s="8"/>
      <c r="E7" s="8"/>
      <c r="F7" s="8"/>
    </row>
    <row r="8" ht="10.95" customHeight="true" customFormat="true" s="9">
      <c r="A8" s="10" t="s">
        <v>10</v>
      </c>
      <c r="B8" s="11">
        <v>8237.6000</v>
      </c>
      <c r="C8" s="11">
        <v>9106.8900</v>
      </c>
      <c r="D8" s="11">
        <v>13347.9500</v>
      </c>
      <c r="E8" s="11">
        <v>0</v>
      </c>
      <c r="F8" s="11">
        <v>30692.4400</v>
      </c>
    </row>
    <row r="9" ht="10.95" customHeight="true" customFormat="true" s="9">
      <c r="A9" s="12" t="s">
        <v>11</v>
      </c>
      <c r="B9" s="13">
        <f ca="1">B8</f>
        <v>0</v>
      </c>
      <c r="C9" s="13">
        <f ca="1">C8</f>
        <v>0</v>
      </c>
      <c r="D9" s="13">
        <f ca="1">D8</f>
        <v>0</v>
      </c>
      <c r="E9" s="13">
        <f ca="1">E8</f>
        <v>0</v>
      </c>
      <c r="F9" s="13">
        <f ca="1">F8</f>
        <v>0</v>
      </c>
    </row>
    <row r="10" ht="13.35" customHeight="true"/>
    <row r="11" ht="12.1" customHeight="true" customFormat="true" s="5">
      <c r="A11" s="8" t="s">
        <v>12</v>
      </c>
      <c r="B11" s="8"/>
      <c r="C11" s="8"/>
      <c r="D11" s="8"/>
      <c r="E11" s="8"/>
      <c r="F11" s="8"/>
    </row>
    <row r="12" ht="10.95" customHeight="true" customFormat="true" s="9">
      <c r="A12" s="10" t="s">
        <v>13</v>
      </c>
      <c r="B12" s="11">
        <v>775.9800</v>
      </c>
      <c r="C12" s="11">
        <v>0</v>
      </c>
      <c r="D12" s="11">
        <v>0</v>
      </c>
      <c r="E12" s="11">
        <v>0</v>
      </c>
      <c r="F12" s="11">
        <v>775.9800</v>
      </c>
    </row>
    <row r="13" ht="10.95" customHeight="true" customFormat="true" s="9">
      <c r="A13" s="12" t="s">
        <v>14</v>
      </c>
      <c r="B13" s="13">
        <f ca="1">B12</f>
        <v>0</v>
      </c>
      <c r="C13" s="13">
        <f ca="1">C12</f>
        <v>0</v>
      </c>
      <c r="D13" s="13">
        <f ca="1">D12</f>
        <v>0</v>
      </c>
      <c r="E13" s="13">
        <f ca="1">E12</f>
        <v>0</v>
      </c>
      <c r="F13" s="13">
        <f ca="1">F12</f>
        <v>0</v>
      </c>
    </row>
    <row r="14" ht="13.35" customHeight="true"/>
    <row r="15" ht="10.95" customHeight="true" customFormat="true" s="9">
      <c r="A15" s="14" t="s">
        <v>15</v>
      </c>
      <c r="B15" s="15">
        <f ca="1">(B9 - B13)</f>
        <v>0</v>
      </c>
      <c r="C15" s="15">
        <f ca="1">(C9 - C13)</f>
        <v>0</v>
      </c>
      <c r="D15" s="15">
        <f ca="1">(D9 - D13)</f>
        <v>0</v>
      </c>
      <c r="E15" s="15">
        <f ca="1">(E9 - E13)</f>
        <v>0</v>
      </c>
      <c r="F15" s="15">
        <f ca="1">(F9 - F13)</f>
        <v>0</v>
      </c>
    </row>
    <row r="16" ht="13.35" customHeight="true"/>
    <row r="17" ht="12.1" customHeight="true" customFormat="true" s="5">
      <c r="A17" s="8" t="s">
        <v>16</v>
      </c>
      <c r="B17" s="8"/>
      <c r="C17" s="8"/>
      <c r="D17" s="8"/>
      <c r="E17" s="8"/>
      <c r="F17" s="8"/>
    </row>
    <row r="18" ht="10.95" customHeight="true" customFormat="true" s="9">
      <c r="A18" s="10" t="s">
        <v>17</v>
      </c>
      <c r="B18" s="11">
        <v>2309.4700</v>
      </c>
      <c r="C18" s="11">
        <v>5500.0000</v>
      </c>
      <c r="D18" s="11">
        <v>1847.5800</v>
      </c>
      <c r="E18" s="11">
        <v>0</v>
      </c>
      <c r="F18" s="11">
        <v>9657.0500</v>
      </c>
    </row>
    <row r="19" ht="10.95" customHeight="true" customFormat="true" s="9">
      <c r="A19" s="16" t="s">
        <v>18</v>
      </c>
      <c r="B19" s="17">
        <v>0</v>
      </c>
      <c r="C19" s="17">
        <v>15.0000</v>
      </c>
      <c r="D19" s="17">
        <v>15.0000</v>
      </c>
      <c r="E19" s="17">
        <v>0</v>
      </c>
      <c r="F19" s="17">
        <v>30.0000</v>
      </c>
    </row>
    <row r="20" ht="10.95" customHeight="true" customFormat="true" s="9">
      <c r="A20" s="16" t="s">
        <v>19</v>
      </c>
      <c r="B20" s="17">
        <v>400.0000</v>
      </c>
      <c r="C20" s="17">
        <v>600.0000</v>
      </c>
      <c r="D20" s="17">
        <v>110.0000</v>
      </c>
      <c r="E20" s="17">
        <v>0</v>
      </c>
      <c r="F20" s="17">
        <v>1110.0000</v>
      </c>
    </row>
    <row r="21" ht="10.95" customHeight="true" customFormat="true" s="9">
      <c r="A21" s="16" t="s">
        <v>20</v>
      </c>
      <c r="B21" s="17">
        <v>29.0000</v>
      </c>
      <c r="C21" s="17">
        <v>29.0000</v>
      </c>
      <c r="D21" s="17">
        <v>29.0000</v>
      </c>
      <c r="E21" s="17">
        <v>0</v>
      </c>
      <c r="F21" s="17">
        <v>87.0000</v>
      </c>
    </row>
    <row r="22" ht="10.95" customHeight="true" customFormat="true" s="9">
      <c r="A22" s="16" t="s">
        <v>21</v>
      </c>
      <c r="B22" s="17">
        <v>0</v>
      </c>
      <c r="C22" s="17">
        <v>1522.0000</v>
      </c>
      <c r="D22" s="17">
        <v>31.6000</v>
      </c>
      <c r="E22" s="17">
        <v>0</v>
      </c>
      <c r="F22" s="17">
        <v>1553.6000</v>
      </c>
    </row>
    <row r="23" ht="10.95" customHeight="true" customFormat="true" s="9">
      <c r="A23" s="16" t="s">
        <v>22</v>
      </c>
      <c r="B23" s="17">
        <v>105.5000</v>
      </c>
      <c r="C23" s="17">
        <v>0</v>
      </c>
      <c r="D23" s="17">
        <v>0</v>
      </c>
      <c r="E23" s="17">
        <v>0</v>
      </c>
      <c r="F23" s="17">
        <v>105.5000</v>
      </c>
    </row>
    <row r="24" ht="10.95" customHeight="true" customFormat="true" s="9">
      <c r="A24" s="16" t="s">
        <v>23</v>
      </c>
      <c r="B24" s="17">
        <v>120.0900</v>
      </c>
      <c r="C24" s="17">
        <v>0</v>
      </c>
      <c r="D24" s="17">
        <v>46.1900</v>
      </c>
      <c r="E24" s="17">
        <v>0</v>
      </c>
      <c r="F24" s="17">
        <v>166.2800</v>
      </c>
    </row>
    <row r="25" ht="10.95" customHeight="true" customFormat="true" s="9">
      <c r="A25" s="16" t="s">
        <v>24</v>
      </c>
      <c r="B25" s="17">
        <v>100.3200</v>
      </c>
      <c r="C25" s="17">
        <v>125.5000</v>
      </c>
      <c r="D25" s="17">
        <v>110.0000</v>
      </c>
      <c r="E25" s="17">
        <v>0</v>
      </c>
      <c r="F25" s="17">
        <v>335.8200</v>
      </c>
    </row>
    <row r="26" ht="10.95" customHeight="true" customFormat="true" s="9">
      <c r="A26" s="16" t="s">
        <v>25</v>
      </c>
      <c r="B26" s="17">
        <v>380.0000</v>
      </c>
      <c r="C26" s="17">
        <v>137.1800</v>
      </c>
      <c r="D26" s="17">
        <v>137.1800</v>
      </c>
      <c r="E26" s="17">
        <v>0</v>
      </c>
      <c r="F26" s="17">
        <v>654.3600</v>
      </c>
    </row>
    <row r="27" ht="10.95" customHeight="true" customFormat="true" s="9">
      <c r="A27" s="16" t="s">
        <v>26</v>
      </c>
      <c r="B27" s="17">
        <v>151.4600</v>
      </c>
      <c r="C27" s="17">
        <v>369.2900</v>
      </c>
      <c r="D27" s="17">
        <v>341.7300</v>
      </c>
      <c r="E27" s="17">
        <v>0</v>
      </c>
      <c r="F27" s="17">
        <v>862.4800</v>
      </c>
    </row>
    <row r="28" ht="10.95" customHeight="true" customFormat="true" s="9">
      <c r="A28" s="16" t="s">
        <v>27</v>
      </c>
      <c r="B28" s="17">
        <v>0</v>
      </c>
      <c r="C28" s="17">
        <v>72.7000</v>
      </c>
      <c r="D28" s="17">
        <v>21.7100</v>
      </c>
      <c r="E28" s="17">
        <v>0</v>
      </c>
      <c r="F28" s="17">
        <v>94.4100</v>
      </c>
    </row>
    <row r="29" ht="10.95" customHeight="true" customFormat="true" s="9">
      <c r="A29" s="16" t="s">
        <v>28</v>
      </c>
      <c r="B29" s="17">
        <v>1091.2200</v>
      </c>
      <c r="C29" s="17">
        <v>1091.2200</v>
      </c>
      <c r="D29" s="17">
        <v>1091.2200</v>
      </c>
      <c r="E29" s="17">
        <v>0</v>
      </c>
      <c r="F29" s="17">
        <v>3273.6600</v>
      </c>
    </row>
    <row r="30" ht="10.95" customHeight="true" customFormat="true" s="9">
      <c r="A30" s="16" t="s">
        <v>29</v>
      </c>
      <c r="B30" s="17">
        <v>0</v>
      </c>
      <c r="C30" s="17">
        <v>64.2000</v>
      </c>
      <c r="D30" s="17">
        <v>1832.5000</v>
      </c>
      <c r="E30" s="17">
        <v>0</v>
      </c>
      <c r="F30" s="17">
        <v>1896.7000</v>
      </c>
    </row>
    <row r="31" ht="10.95" customHeight="true" customFormat="true" s="9">
      <c r="A31" s="16" t="s">
        <v>30</v>
      </c>
      <c r="B31" s="17">
        <v>151.6200</v>
      </c>
      <c r="C31" s="17">
        <v>43.2500</v>
      </c>
      <c r="D31" s="17">
        <v>41.5000</v>
      </c>
      <c r="E31" s="17">
        <v>0</v>
      </c>
      <c r="F31" s="17">
        <v>236.3700</v>
      </c>
    </row>
    <row r="32" ht="10.95" customHeight="true" customFormat="true" s="9">
      <c r="A32" s="16" t="s">
        <v>31</v>
      </c>
      <c r="B32" s="17">
        <v>267.9200</v>
      </c>
      <c r="C32" s="17">
        <v>133.0800</v>
      </c>
      <c r="D32" s="17">
        <v>32.2400</v>
      </c>
      <c r="E32" s="17">
        <v>0</v>
      </c>
      <c r="F32" s="17">
        <v>433.2400</v>
      </c>
    </row>
    <row r="33" ht="10.95" customHeight="true" customFormat="true" s="9">
      <c r="A33" s="16" t="s">
        <v>32</v>
      </c>
      <c r="B33" s="17">
        <v>13.6000</v>
      </c>
      <c r="C33" s="17">
        <v>30.8200</v>
      </c>
      <c r="D33" s="17">
        <v>-8.3800</v>
      </c>
      <c r="E33" s="17">
        <v>0</v>
      </c>
      <c r="F33" s="17">
        <v>36.0400</v>
      </c>
    </row>
    <row r="34" ht="10.95" customHeight="true" customFormat="true" s="9">
      <c r="A34" s="12" t="s">
        <v>33</v>
      </c>
      <c r="B34" s="13">
        <f ca="1">SUM(B18:B33)</f>
        <v>0</v>
      </c>
      <c r="C34" s="13">
        <f ca="1">SUM(C18:C33)</f>
        <v>0</v>
      </c>
      <c r="D34" s="13">
        <f ca="1">SUM(D18:D33)</f>
        <v>0</v>
      </c>
      <c r="E34" s="13">
        <f ca="1">SUM(E18:E33)</f>
        <v>0</v>
      </c>
      <c r="F34" s="13">
        <f ca="1">SUM(F18:F33)</f>
        <v>0</v>
      </c>
    </row>
    <row r="35" ht="13.35" customHeight="true"/>
    <row r="36" ht="10.95" customHeight="true" customFormat="true" s="9">
      <c r="A36" s="14" t="s">
        <v>34</v>
      </c>
      <c r="B36" s="15">
        <f ca="1">((B15 + 0) - B34)</f>
        <v>0</v>
      </c>
      <c r="C36" s="15">
        <f ca="1">((C15 + 0) - C34)</f>
        <v>0</v>
      </c>
      <c r="D36" s="15">
        <f ca="1">((D15 + 0) - D34)</f>
        <v>0</v>
      </c>
      <c r="E36" s="15">
        <f ca="1">((E15 + 0) - E34)</f>
        <v>0</v>
      </c>
      <c r="F36" s="15">
        <f ca="1">((F15 + 0) - F34)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